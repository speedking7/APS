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人工明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<sst xmlns="http://schemas.openxmlformats.org/spreadsheetml/2006/main" count="66" uniqueCount="34">
  <si>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制造部门</t>
  </si>
  <si>
    <t>制造单元</t>
  </si>
  <si>
    <t>项目</t>
  </si>
  <si>
    <t>产品名称</t>
  </si>
  <si>
    <t>产品番号</t>
  </si>
  <si>
    <t>产品编码</t>
  </si>
  <si>
    <t>月份</t>
  </si>
  <si>
    <t>计划生产数</t>
  </si>
  <si>
    <t>工序</t>
  </si>
  <si>
    <t>所需工时</t>
  </si>
  <si>
    <t>制造一课</t>
  </si>
  <si>
    <t>注塑</t>
  </si>
  <si>
    <t>三葉</t>
  </si>
  <si>
    <t>二段端盖</t>
  </si>
  <si>
    <t>A1816-768-00</t>
  </si>
  <si>
    <t>AAA001</t>
  </si>
  <si>
    <t>制造二课</t>
  </si>
  <si>
    <t>吸塑</t>
  </si>
  <si>
    <t>SA3</t>
  </si>
  <si>
    <t>仪表板右装饰板下饰板</t>
  </si>
  <si>
    <t>D01-13050（连续机）686膜片</t>
  </si>
  <si>
    <t>BBB001</t>
  </si>
  <si>
    <t>整平覆膜裁片</t>
  </si>
  <si>
    <t>BBB002</t>
  </si>
  <si>
    <t>BBB003</t>
  </si>
  <si>
    <t>UV</t>
  </si>
  <si>
    <t>BBB004</t>
  </si>
  <si>
    <t>分模</t>
  </si>
  <si>
    <t>BBB005</t>
  </si>
  <si>
    <t>冲切</t>
  </si>
  <si>
    <t>BBB006</t>
  </si>
  <si>
    <t>整形</t>
  </si>
  <si>
    <t>BBB007</t>
  </si>
  <si>
    <t>镭雕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</si>
</sst>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  <font>
      <sz val="12"/>
      <name val="宋体"/>
      <charset val="134"/>
    </font>
    <font>
      <sz val="11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0" fillId="0" borderId="0"/>
    <xf numFmtId="0" fontId="20" fillId="0" borderId="0"/>
    <xf numFmtId="0" fontId="2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3" xfId="49"/>
    <cellStyle name="常规 2 2" xfId="50"/>
    <cellStyle name="常规_電装1 2" xfId="51"/>
    <cellStyle name="標準_Sheet1_2014年2月体制" xfId="52"/>
    <cellStyle name="標準_2014年2月体制" xfId="53"/>
    <cellStyle name="標準_２０１２.４要員計画説明資料_2014年2月体制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A1" sqref="A1"/>
    </sheetView>
  </sheetViews>
  <sheetFormatPr defaultColWidth="9" defaultRowHeight="13.5"/>
  <cols>
    <col min="1" max="2" width="8.875" customWidth="1"/>
    <col min="3" max="3" width="5.125" customWidth="1"/>
    <col min="4" max="4" width="21.25" customWidth="1"/>
    <col min="5" max="5" width="28.375" customWidth="1"/>
    <col min="6" max="6" width="8.875" customWidth="1"/>
    <col min="7" max="7" width="7.375" customWidth="1"/>
    <col min="8" max="8" width="10.875" customWidth="1"/>
    <col min="9" max="9" width="12.875" customWidth="1"/>
    <col min="10" max="10" width="8.875" customWidth="1"/>
    <col min="11" max="16383" width="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customFormat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202605</v>
      </c>
      <c r="H2" s="1">
        <v>1000</v>
      </c>
      <c r="I2" t="s">
        <v>11</v>
      </c>
      <c r="J2" s="1">
        <f>H2*10</f>
        <v>10000</v>
      </c>
    </row>
    <row r="3" customFormat="1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202605</v>
      </c>
      <c r="H3" s="1">
        <f t="shared" ref="H3:H8" si="0">H4*1.05</f>
        <v>1340.095640625</v>
      </c>
      <c r="I3" t="s">
        <v>22</v>
      </c>
      <c r="J3" s="1">
        <f t="shared" ref="J3:J9" si="1">H3*10</f>
        <v>13400.95640625</v>
      </c>
    </row>
    <row r="4" customFormat="1" spans="1:10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23</v>
      </c>
      <c r="G4">
        <v>202605</v>
      </c>
      <c r="H4" s="1">
        <f t="shared" si="0"/>
        <v>1276.2815625</v>
      </c>
      <c r="I4" t="s">
        <v>17</v>
      </c>
      <c r="J4" s="1">
        <f t="shared" si="1"/>
        <v>12762.815625</v>
      </c>
    </row>
    <row r="5" customFormat="1" spans="1:10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24</v>
      </c>
      <c r="G5">
        <v>202605</v>
      </c>
      <c r="H5" s="1">
        <f t="shared" si="0"/>
        <v>1215.50625</v>
      </c>
      <c r="I5" t="s">
        <v>25</v>
      </c>
      <c r="J5" s="1">
        <f t="shared" si="1"/>
        <v>12155.0625</v>
      </c>
    </row>
    <row r="6" customFormat="1" spans="1:10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26</v>
      </c>
      <c r="G6">
        <v>202605</v>
      </c>
      <c r="H6" s="1">
        <f t="shared" si="0"/>
        <v>1157.625</v>
      </c>
      <c r="I6" t="s">
        <v>27</v>
      </c>
      <c r="J6" s="1">
        <f t="shared" si="1"/>
        <v>11576.25</v>
      </c>
    </row>
    <row r="7" customFormat="1" spans="1:10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28</v>
      </c>
      <c r="G7">
        <v>202605</v>
      </c>
      <c r="H7" s="1">
        <f t="shared" si="0"/>
        <v>1102.5</v>
      </c>
      <c r="I7" t="s">
        <v>29</v>
      </c>
      <c r="J7" s="1">
        <f t="shared" si="1"/>
        <v>11025</v>
      </c>
    </row>
    <row r="8" spans="1:10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30</v>
      </c>
      <c r="G8">
        <v>202605</v>
      </c>
      <c r="H8" s="1">
        <f t="shared" si="0"/>
        <v>1050</v>
      </c>
      <c r="I8" t="s">
        <v>31</v>
      </c>
      <c r="J8" s="1">
        <f t="shared" si="1"/>
        <v>10500</v>
      </c>
    </row>
    <row r="9" spans="1:10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32</v>
      </c>
      <c r="G9">
        <v>202605</v>
      </c>
      <c r="H9" s="1">
        <v>1000</v>
      </c>
      <c r="I9" t="s">
        <v>33</v>
      </c>
      <c r="J9" s="1">
        <f t="shared" si="1"/>
        <v>10000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2026-05-24T15:16:12Z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CC7DDE8EBE504562A626F8C15E2CC232_12</vt:lpwstr>
  </property>
  <property fmtid="{D5CDD505-2E9C-101B-9397-08002B2CF9AE}" pid="4" name="CalculationRule">
    <vt:i4>0</vt:i4>
  </property>
</Properties>
</file>