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设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<sst xmlns="http://schemas.openxmlformats.org/spreadsheetml/2006/main" count="37" uniqueCount="15">
  <si>
    <t>制造部门</t>
  </si>
  <si>
    <t>设备名称（大类）</t>
  </si>
  <si>
    <t>设备品牌</t>
  </si>
  <si>
    <t>设备型号（小类）</t>
  </si>
  <si>
    <t>台数</t>
  </si>
  <si>
    <t>月份</t>
  </si>
  <si>
    <t>天数</t>
  </si>
  <si>
    <t>所需台数</t>
  </si>
  <si>
    <t>差异</t>
  </si>
  <si>
    <t>负荷率</t>
  </si>
  <si>
    <t>制造一课</t>
  </si>
  <si>
    <t>立式注塑机</t>
  </si>
  <si>
    <t>60t</t>
  </si>
  <si>
    <t>120t</t>
  </si>
  <si>
    <t>160t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</si>
</sst>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ＭＳ Ｐゴシック"/>
      <charset val="134"/>
    </font>
    <font>
      <sz val="12"/>
      <name val="宋体"/>
      <charset val="134"/>
    </font>
    <font>
      <sz val="11"/>
      <name val="ＭＳ Ｐゴシック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0" fillId="0" borderId="0"/>
    <xf numFmtId="0" fontId="20" fillId="0" borderId="0"/>
    <xf numFmtId="0" fontId="21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</cellStyleXfs>
  <cellXfs count="2"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3" xfId="49"/>
    <cellStyle name="常规 2 2" xfId="50"/>
    <cellStyle name="常规_電装1 2" xfId="51"/>
    <cellStyle name="標準_Sheet1_2014年2月体制" xfId="52"/>
    <cellStyle name="標準_2014年2月体制" xfId="53"/>
    <cellStyle name="標準_２０１２.４要員計画説明資料_2014年2月体制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A1" sqref="A1"/>
    </sheetView>
  </sheetViews>
  <sheetFormatPr defaultColWidth="9" defaultRowHeight="13.5"/>
  <cols>
    <col min="1" max="1" width="8.875" customWidth="1"/>
    <col min="2" max="2" width="17.125" customWidth="1"/>
    <col min="3" max="3" width="8.875" customWidth="1"/>
    <col min="4" max="4" width="17.125" customWidth="1"/>
    <col min="5" max="5" width="5.125" customWidth="1"/>
    <col min="6" max="6" width="7.375" customWidth="1"/>
    <col min="7" max="7" width="5.125" customWidth="1"/>
    <col min="8" max="8" width="8.875" customWidth="1"/>
    <col min="9" max="9" width="5.375" customWidth="1"/>
    <col min="10" max="10" width="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D2" t="s">
        <v>12</v>
      </c>
      <c r="E2">
        <v>1</v>
      </c>
      <c r="F2">
        <v>202605</v>
      </c>
      <c r="G2">
        <v>26</v>
      </c>
      <c r="H2">
        <v>0.24</v>
      </c>
      <c r="I2">
        <f t="shared" ref="I2:I10" si="0">E2-H2</f>
        <v>0.76</v>
      </c>
      <c r="J2" s="1">
        <f t="shared" ref="J2:J10" si="1">H2/E2</f>
        <v>0.24</v>
      </c>
    </row>
    <row r="3" spans="1:10">
      <c r="A3" t="s">
        <v>10</v>
      </c>
      <c r="B3" t="s">
        <v>11</v>
      </c>
      <c r="D3" t="s">
        <v>13</v>
      </c>
      <c r="E3">
        <v>2</v>
      </c>
      <c r="F3">
        <v>202605</v>
      </c>
      <c r="G3">
        <v>26</v>
      </c>
      <c r="H3">
        <v>1.04</v>
      </c>
      <c r="I3">
        <f t="shared" si="0"/>
        <v>0.96</v>
      </c>
      <c r="J3" s="1">
        <f t="shared" si="1"/>
        <v>0.52</v>
      </c>
    </row>
    <row r="4" spans="1:10">
      <c r="A4" t="s">
        <v>10</v>
      </c>
      <c r="B4" t="s">
        <v>11</v>
      </c>
      <c r="D4" t="s">
        <v>14</v>
      </c>
      <c r="E4">
        <v>4</v>
      </c>
      <c r="F4">
        <v>202605</v>
      </c>
      <c r="G4">
        <v>26</v>
      </c>
      <c r="H4">
        <v>1.68</v>
      </c>
      <c r="I4">
        <f t="shared" si="0"/>
        <v>2.32</v>
      </c>
      <c r="J4" s="1">
        <f t="shared" si="1"/>
        <v>0.42</v>
      </c>
    </row>
    <row r="5" customFormat="1" spans="1:10">
      <c r="A5" t="s">
        <v>10</v>
      </c>
      <c r="B5" t="s">
        <v>11</v>
      </c>
      <c r="D5" t="s">
        <v>12</v>
      </c>
      <c r="E5">
        <v>1</v>
      </c>
      <c r="F5">
        <v>202606</v>
      </c>
      <c r="G5">
        <v>26</v>
      </c>
      <c r="H5">
        <v>0.44</v>
      </c>
      <c r="I5">
        <f t="shared" si="0"/>
        <v>0.56</v>
      </c>
      <c r="J5" s="1">
        <f t="shared" si="1"/>
        <v>0.44</v>
      </c>
    </row>
    <row r="6" customFormat="1" spans="1:10">
      <c r="A6" t="s">
        <v>10</v>
      </c>
      <c r="B6" t="s">
        <v>11</v>
      </c>
      <c r="D6" t="s">
        <v>13</v>
      </c>
      <c r="E6">
        <v>2</v>
      </c>
      <c r="F6">
        <v>202606</v>
      </c>
      <c r="G6">
        <v>26</v>
      </c>
      <c r="H6">
        <v>1.05</v>
      </c>
      <c r="I6">
        <f t="shared" si="0"/>
        <v>0.95</v>
      </c>
      <c r="J6" s="1">
        <f t="shared" si="1"/>
        <v>0.525</v>
      </c>
    </row>
    <row r="7" customFormat="1" spans="1:10">
      <c r="A7" t="s">
        <v>10</v>
      </c>
      <c r="B7" t="s">
        <v>11</v>
      </c>
      <c r="D7" t="s">
        <v>14</v>
      </c>
      <c r="E7">
        <v>4</v>
      </c>
      <c r="F7">
        <v>202606</v>
      </c>
      <c r="G7">
        <v>26</v>
      </c>
      <c r="H7">
        <v>1.8</v>
      </c>
      <c r="I7">
        <f t="shared" si="0"/>
        <v>2.2</v>
      </c>
      <c r="J7" s="1">
        <f t="shared" si="1"/>
        <v>0.45</v>
      </c>
    </row>
    <row r="8" customFormat="1" spans="1:10">
      <c r="A8" t="s">
        <v>10</v>
      </c>
      <c r="B8" t="s">
        <v>11</v>
      </c>
      <c r="D8" t="s">
        <v>12</v>
      </c>
      <c r="E8">
        <v>1</v>
      </c>
      <c r="F8">
        <v>202607</v>
      </c>
      <c r="G8">
        <v>26</v>
      </c>
      <c r="H8">
        <v>0.45</v>
      </c>
      <c r="I8">
        <f t="shared" si="0"/>
        <v>0.55</v>
      </c>
      <c r="J8" s="1">
        <f t="shared" si="1"/>
        <v>0.45</v>
      </c>
    </row>
    <row r="9" customFormat="1" spans="1:10">
      <c r="A9" t="s">
        <v>10</v>
      </c>
      <c r="B9" t="s">
        <v>11</v>
      </c>
      <c r="D9" t="s">
        <v>13</v>
      </c>
      <c r="E9">
        <v>2</v>
      </c>
      <c r="F9">
        <v>202607</v>
      </c>
      <c r="G9">
        <v>26</v>
      </c>
      <c r="H9">
        <v>1.17</v>
      </c>
      <c r="I9">
        <f t="shared" si="0"/>
        <v>0.83</v>
      </c>
      <c r="J9" s="1">
        <f t="shared" si="1"/>
        <v>0.585</v>
      </c>
    </row>
    <row r="10" customFormat="1" spans="1:10">
      <c r="A10" t="s">
        <v>10</v>
      </c>
      <c r="B10" t="s">
        <v>11</v>
      </c>
      <c r="D10" t="s">
        <v>14</v>
      </c>
      <c r="E10">
        <v>4</v>
      </c>
      <c r="F10">
        <v>202607</v>
      </c>
      <c r="G10">
        <v>26</v>
      </c>
      <c r="H10">
        <v>1.87</v>
      </c>
      <c r="I10">
        <f t="shared" si="0"/>
        <v>2.13</v>
      </c>
      <c r="J10" s="1">
        <f t="shared" si="1"/>
        <v>0.4675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Gong,Chaoyu (YFI,Eric,Shanghai,CN)</dc:creator>
  <cp:lastModifiedBy>Gong,Chaoyu (YFI,Eric,Shanghai,CN)</cp:lastModifiedBy>
  <dcterms:created xsi:type="dcterms:W3CDTF">2023-05-12T11:15:00Z</dcterms:created>
  <dcterms:modified xsi:type="dcterms:W3CDTF">2026-05-24T15:15:41Z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CC7DDE8EBE504562A626F8C15E2CC232_12</vt:lpwstr>
  </property>
  <property fmtid="{D5CDD505-2E9C-101B-9397-08002B2CF9AE}" pid="4" name="CalculationRule">
    <vt:i4>0</vt:i4>
  </property>
</Properties>
</file>