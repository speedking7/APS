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结果集（人工）" sheetId="6" r:id="rId1"/>
    <sheet name="结果集（设备）" sheetId="9" r:id="rId2"/>
    <sheet name="结果集（物料）" sheetId="8" r:id="rId3"/>
  </sheets>
  <externalReferences>
    <externalReference r:id="rId4"/>
  </externalReferences>
  <definedNames>
    <definedName name="_">[1]盘点!$B$2:$H$238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ugonc001</author>
  </authors>
  <commentList>
    <comment ref="E3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上一级生产数量 乘以 用量</t>
        </r>
      </text>
    </comment>
    <comment ref="F3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减盘点数+安全库存</t>
        </r>
      </text>
    </comment>
  </commentList>
</comments>
</file>

<file path=xl/sharedStrings.xml><?xml version="1.0" encoding="utf-8"?>
<sst xmlns="http://schemas.openxmlformats.org/spreadsheetml/2006/main" count="39" uniqueCount="35">
  <si>
    <t>工序</t>
  </si>
  <si>
    <t>设备</t>
  </si>
  <si>
    <t>自制件</t>
  </si>
  <si>
    <t>完成品</t>
  </si>
  <si>
    <t>需求</t>
  </si>
  <si>
    <t>生产</t>
  </si>
  <si>
    <t>年月</t>
  </si>
  <si>
    <t>模腔数/取数（pcs）</t>
  </si>
  <si>
    <t>制造周期（S）</t>
  </si>
  <si>
    <t>持台人数（人）</t>
  </si>
  <si>
    <t>单件节拍（S）</t>
  </si>
  <si>
    <t>报废率</t>
  </si>
  <si>
    <t>版本号</t>
  </si>
  <si>
    <t>aa</t>
  </si>
  <si>
    <t>aa001</t>
  </si>
  <si>
    <t>11201A012</t>
  </si>
  <si>
    <t>20260331-1</t>
  </si>
  <si>
    <t>bb</t>
  </si>
  <si>
    <t>bb001</t>
  </si>
  <si>
    <t>11201A012-1</t>
  </si>
  <si>
    <t>半成品</t>
  </si>
  <si>
    <t>假设现存量和安全库存都是0，用量是1</t>
  </si>
  <si>
    <t>先遍历完成品入库需求数</t>
  </si>
  <si>
    <t>再通过完成品遍历BOM</t>
  </si>
  <si>
    <t>完成品的入库需求数除以(1-报废率）之后得到该完成品该工序的计划生产数</t>
  </si>
  <si>
    <t>然后根据用量得到下级半成品的需求数，再减去该下级半成品的现存量（即上个月期末库存），再加上其安全库存。</t>
  </si>
  <si>
    <t xml:space="preserve">    如果小于0则不需要生产，计划生产数就是0，也不再需要计算其下级件；</t>
  </si>
  <si>
    <t xml:space="preserve">    如果大于0，则还需要除以(1-报废率）之后得到计划生产数，再接着计算其下级件，直到整个BOM遍历完毕。</t>
  </si>
  <si>
    <t>需要一个月一个月逐一计算</t>
  </si>
  <si>
    <t>完成品，不需要考虑期末库存和安全库存，因为它们已经被考虑在入库需求数了</t>
  </si>
  <si>
    <t>半成品，第一个月的现存量从半成品期末盘点数表中查找；之后月的现存量就根据上个月的数据计算而得</t>
  </si>
  <si>
    <t>同一个月份中如果一个半成品出现多次（在多个完成品的BOM下）</t>
  </si>
  <si>
    <t>其当月的现存量应该是一个逐步被消耗的逻辑，而不能每次计算都用相同的值</t>
  </si>
  <si>
    <t>而其当月的安全库存应该只要考虑一次即可，不需要每次计算都考虑，那样会造成安全库存过高</t>
  </si>
  <si>
    <t>每次计算的时候，是要指定版本号的，根据指定的版本号去找相关的数据，然后把计算结果保存下来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</si>
</sst>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176" fontId="0" fillId="0" borderId="0" xfId="1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114300</xdr:colOff>
      <xdr:row>21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914900" cy="3676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工序"/>
      <sheetName val="安全库存标准"/>
      <sheetName val="盘点"/>
      <sheetName val="报废率"/>
      <sheetName val="预测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A21" sqref="A21"/>
    </sheetView>
  </sheetViews>
  <sheetFormatPr defaultColWidth="30.625" defaultRowHeight="13.5"/>
  <cols>
    <col min="1" max="1" width="4.125" customWidth="1"/>
    <col min="2" max="2" width="6.375" customWidth="1"/>
    <col min="3" max="4" width="14.875" customWidth="1"/>
    <col min="5" max="6" width="6.375" customWidth="1"/>
    <col min="7" max="7" width="7.375" customWidth="1"/>
    <col min="8" max="8" width="16.875" customWidth="1"/>
    <col min="9" max="9" width="12.125" customWidth="1"/>
    <col min="10" max="10" width="12.875" customWidth="1"/>
    <col min="11" max="11" width="12.125" customWidth="1"/>
    <col min="12" max="12" width="5.875" customWidth="1"/>
    <col min="13" max="13" width="11.5" customWidth="1"/>
    <col min="14" max="14" width="9.875" customWidth="1"/>
    <col min="15" max="15" width="36" customWidth="1"/>
    <col min="16" max="16383" width="30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 s="2" t="s">
        <v>13</v>
      </c>
      <c r="B2" s="2" t="s">
        <v>14</v>
      </c>
      <c r="C2" s="3" t="s">
        <v>15</v>
      </c>
      <c r="D2" s="3" t="s">
        <v>15</v>
      </c>
      <c r="E2" s="2">
        <v>90</v>
      </c>
      <c r="F2" s="2">
        <f>ROUNDUP(E2/(1-L2),0)</f>
        <v>91</v>
      </c>
      <c r="G2" s="2">
        <v>202604</v>
      </c>
      <c r="H2" s="2">
        <v>1</v>
      </c>
      <c r="I2" s="2">
        <v>30</v>
      </c>
      <c r="J2" s="2">
        <v>1</v>
      </c>
      <c r="K2" s="2">
        <v>30</v>
      </c>
      <c r="L2" s="4">
        <v>0.01</v>
      </c>
      <c r="M2" s="2" t="s">
        <v>16</v>
      </c>
      <c r="N2" t="s">
        <v>3</v>
      </c>
    </row>
    <row r="3" spans="1:15">
      <c r="A3" s="2" t="s">
        <v>17</v>
      </c>
      <c r="B3" s="2" t="s">
        <v>18</v>
      </c>
      <c r="C3" s="3" t="s">
        <v>19</v>
      </c>
      <c r="D3" s="3" t="s">
        <v>15</v>
      </c>
      <c r="E3" s="2">
        <f>F2*1</f>
        <v>91</v>
      </c>
      <c r="F3" s="2">
        <f>ROUNDUP((E3+0-0)/(1-L3),0)</f>
        <v>93</v>
      </c>
      <c r="G3" s="2">
        <v>202604</v>
      </c>
      <c r="H3" s="2">
        <v>1</v>
      </c>
      <c r="I3" s="2">
        <v>31</v>
      </c>
      <c r="J3" s="2">
        <v>1</v>
      </c>
      <c r="K3" s="2">
        <v>31</v>
      </c>
      <c r="L3" s="4">
        <v>0.02</v>
      </c>
      <c r="M3" s="2" t="s">
        <v>16</v>
      </c>
      <c r="N3" t="s">
        <v>20</v>
      </c>
      <c r="O3" t="s">
        <v>21</v>
      </c>
    </row>
    <row r="5" spans="1:15">
      <c r="A5" t="s">
        <v>22</v>
      </c>
    </row>
    <row r="6" spans="1:15">
      <c r="A6" t="s">
        <v>23</v>
      </c>
    </row>
    <row r="7" spans="1:15">
      <c r="A7" t="s">
        <v>24</v>
      </c>
    </row>
    <row r="8" spans="1:15">
      <c r="A8" t="s">
        <v>25</v>
      </c>
    </row>
    <row r="9" spans="1:15">
      <c r="A9" t="s">
        <v>26</v>
      </c>
    </row>
    <row r="10" spans="1:15">
      <c r="A10" t="s">
        <v>27</v>
      </c>
    </row>
    <row r="12" spans="1:15">
      <c r="A12" t="s">
        <v>28</v>
      </c>
    </row>
    <row r="13" spans="1:15">
      <c r="A13" t="s">
        <v>29</v>
      </c>
    </row>
    <row r="14" spans="1:15">
      <c r="A14" t="s">
        <v>30</v>
      </c>
    </row>
    <row r="16" spans="1:15">
      <c r="A16" t="s">
        <v>31</v>
      </c>
    </row>
    <row r="17" spans="1:1">
      <c r="A17" t="s">
        <v>32</v>
      </c>
    </row>
    <row r="18" spans="1:1">
      <c r="A18" t="s">
        <v>33</v>
      </c>
    </row>
    <row r="21" spans="1:1">
      <c r="A21" t="s">
        <v>34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2" sqref="H22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结果集（人工）</vt:lpstr>
      <vt:lpstr>结果集（设备）</vt:lpstr>
      <vt:lpstr>结果集（物料）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2026-05-13T13:16:03Z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DB7D314133F5403C95AC59016CDC206D_12</vt:lpwstr>
  </property>
  <property fmtid="{D5CDD505-2E9C-101B-9397-08002B2CF9AE}" pid="4" name="CalculationRule">
    <vt:i4>0</vt:i4>
  </property>
</Properties>
</file>