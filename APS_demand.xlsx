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055"/>
  </bookViews>
  <sheets>
    <sheet name="完成品入库需求数" sheetId="1" r:id="rId1"/>
  </sheets>
  <externalReferences>
    <externalReference r:id="rId2"/>
  </externalReferences>
  <definedNames>
    <definedName name="_">[1]盘点!$B$2:$H$238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<sst xmlns="http://schemas.openxmlformats.org/spreadsheetml/2006/main" count="27" uniqueCount="14">
  <si>
    <t>客户</t>
  </si>
  <si>
    <t>存货编码</t>
  </si>
  <si>
    <t>年月</t>
  </si>
  <si>
    <t>需求数量</t>
  </si>
  <si>
    <t>期末库存</t>
  </si>
  <si>
    <t>最小安全库存</t>
  </si>
  <si>
    <t>完成品入库需求数</t>
  </si>
  <si>
    <t>版本号</t>
  </si>
  <si>
    <t>AAA</t>
  </si>
  <si>
    <t>11201A012</t>
  </si>
  <si>
    <t>20260331-1</t>
  </si>
  <si>
    <t>BBB</t>
  </si>
  <si>
    <t>11201A022</t>
  </si>
  <si>
    <t>说明：按版本号+客户进行全删全导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</si>
</sst>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</numFmts>
  <fonts count="22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  <xf numFmtId="0" fontId="21" fillId="0" borderId="0"/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 shrinkToFit="1"/>
    </xf>
    <xf numFmtId="176" fontId="0" fillId="0" borderId="0" xfId="1" applyNumberFormat="1" applyFont="1" applyFill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P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多工序"/>
      <sheetName val="安全库存标准"/>
      <sheetName val="盘点"/>
      <sheetName val="报废率"/>
      <sheetName val="预测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selection activeCell="A10" sqref="A10"/>
    </sheetView>
  </sheetViews>
  <sheetFormatPr defaultColWidth="9" defaultRowHeight="13.5" outlineLevelCol="7"/>
  <cols>
    <col min="1" max="1" width="32.75" style="1" customWidth="1"/>
    <col min="2" max="2" width="12.625" style="1" customWidth="1"/>
    <col min="3" max="3" width="7.375" style="1" customWidth="1"/>
    <col min="4" max="5" width="7.625" style="1" customWidth="1"/>
    <col min="6" max="6" width="11.125" style="1" customWidth="1"/>
    <col min="7" max="7" width="14.625" style="1" customWidth="1"/>
    <col min="8" max="8" width="11.5" style="1" customWidth="1"/>
    <col min="9" max="16384" width="9" style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3" t="s">
        <v>9</v>
      </c>
      <c r="C2" s="1">
        <v>202604</v>
      </c>
      <c r="D2" s="1">
        <v>100</v>
      </c>
      <c r="E2" s="1">
        <v>10</v>
      </c>
      <c r="F2" s="1">
        <v>0</v>
      </c>
      <c r="G2" s="1">
        <f t="shared" ref="G2:G7" si="0">D2-E2+F2</f>
        <v>90</v>
      </c>
      <c r="H2" s="1" t="s">
        <v>10</v>
      </c>
    </row>
    <row r="3" spans="1:8">
      <c r="A3" s="1" t="s">
        <v>8</v>
      </c>
      <c r="B3" s="3" t="s">
        <v>9</v>
      </c>
      <c r="C3" s="1">
        <v>202605</v>
      </c>
      <c r="D3" s="1">
        <v>101</v>
      </c>
      <c r="E3" s="1">
        <f t="shared" ref="E3:E7" si="1">E2+G2-D2</f>
        <v>0</v>
      </c>
      <c r="F3" s="1">
        <v>0</v>
      </c>
      <c r="G3" s="1">
        <f t="shared" si="0"/>
        <v>101</v>
      </c>
      <c r="H3" s="1" t="s">
        <v>10</v>
      </c>
    </row>
    <row r="4" spans="1:8">
      <c r="A4" s="1" t="s">
        <v>8</v>
      </c>
      <c r="B4" s="3" t="s">
        <v>9</v>
      </c>
      <c r="C4" s="1">
        <v>202606</v>
      </c>
      <c r="D4" s="1">
        <v>102</v>
      </c>
      <c r="E4" s="1">
        <f t="shared" si="1"/>
        <v>0</v>
      </c>
      <c r="F4" s="1">
        <v>0</v>
      </c>
      <c r="G4" s="1">
        <f t="shared" si="0"/>
        <v>102</v>
      </c>
      <c r="H4" s="1" t="s">
        <v>10</v>
      </c>
    </row>
    <row r="5" spans="1:8">
      <c r="A5" s="1" t="s">
        <v>11</v>
      </c>
      <c r="B5" s="3" t="s">
        <v>12</v>
      </c>
      <c r="C5" s="1">
        <v>202604</v>
      </c>
      <c r="D5" s="1">
        <v>103</v>
      </c>
      <c r="E5" s="1">
        <v>13</v>
      </c>
      <c r="F5" s="1">
        <v>1</v>
      </c>
      <c r="G5" s="1">
        <f t="shared" si="0"/>
        <v>91</v>
      </c>
      <c r="H5" s="1" t="s">
        <v>10</v>
      </c>
    </row>
    <row r="6" spans="1:8">
      <c r="A6" s="1" t="s">
        <v>11</v>
      </c>
      <c r="B6" s="3" t="s">
        <v>12</v>
      </c>
      <c r="C6" s="1">
        <v>202605</v>
      </c>
      <c r="D6" s="1">
        <v>104</v>
      </c>
      <c r="E6" s="1">
        <f t="shared" si="1"/>
        <v>1</v>
      </c>
      <c r="F6" s="1">
        <v>1</v>
      </c>
      <c r="G6" s="1">
        <f t="shared" si="0"/>
        <v>104</v>
      </c>
      <c r="H6" s="1" t="s">
        <v>10</v>
      </c>
    </row>
    <row r="7" spans="1:8">
      <c r="A7" s="1" t="s">
        <v>11</v>
      </c>
      <c r="B7" s="3" t="s">
        <v>12</v>
      </c>
      <c r="C7" s="1">
        <v>202606</v>
      </c>
      <c r="D7" s="1">
        <v>105</v>
      </c>
      <c r="E7" s="1">
        <f t="shared" si="1"/>
        <v>1</v>
      </c>
      <c r="F7" s="1">
        <v>1</v>
      </c>
      <c r="G7" s="1">
        <f t="shared" si="0"/>
        <v>105</v>
      </c>
      <c r="H7" s="1" t="s">
        <v>10</v>
      </c>
    </row>
    <row r="9" spans="1:8">
      <c r="A9" t="s">
        <v>13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完成品入库需求数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Gong,Chaoyu (YFI,Eric,Shanghai,CN)</dc:creator>
  <cp:lastModifiedBy>Gong,Chaoyu (YFI,Eric,Shanghai,CN)</cp:lastModifiedBy>
  <dcterms:created xsi:type="dcterms:W3CDTF">2023-05-12T11:15:00Z</dcterms:created>
  <dcterms:modified xsi:type="dcterms:W3CDTF">2026-05-12T13:29:01Z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DB7D314133F5403C95AC59016CDC206D_12</vt:lpwstr>
  </property>
  <property fmtid="{D5CDD505-2E9C-101B-9397-08002B2CF9AE}" pid="4" name="CalculationRule">
    <vt:i4>0</vt:i4>
  </property>
</Properties>
</file>