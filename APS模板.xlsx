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 activeTab="6"/>
  </bookViews>
  <sheets>
    <sheet name="预测（仅完成品）" sheetId="1" r:id="rId1"/>
    <sheet name="报废率" sheetId="2" r:id="rId2"/>
    <sheet name="库存天数" sheetId="3" r:id="rId3"/>
    <sheet name="稼动天数" sheetId="7" r:id="rId4"/>
    <sheet name="BOM" sheetId="4" r:id="rId5"/>
    <sheet name="盘点数" sheetId="5" r:id="rId6"/>
    <sheet name="结果集" sheetId="6" r:id="rId7"/>
  </sheets>
  <externalReferences>
    <externalReference r:id="rId8"/>
  </externalReferences>
  <definedNames>
    <definedName name="_">[1]盘点!$B$2:$H$238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ugonc001</author>
  </authors>
  <commentList>
    <comment ref="K3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实际要根据BOM表里面的上下级关系和用量进行计算</t>
        </r>
      </text>
    </comment>
    <comment ref="K4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实际要根据BOM表里面的上下级关系和用量进行计算</t>
        </r>
      </text>
    </comment>
    <comment ref="K6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实际要根据BOM表里面的上下级关系和用量进行计算</t>
        </r>
      </text>
    </comment>
    <comment ref="K7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实际要根据BOM表里面的上下级关系和用量进行计算</t>
        </r>
      </text>
    </comment>
    <comment ref="K9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实际要根据BOM表里面的上下级关系和用量进行计算</t>
        </r>
      </text>
    </comment>
    <comment ref="K10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实际要根据BOM表里面的上下级关系和用量进行计算</t>
        </r>
      </text>
    </comment>
    <comment ref="K12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实际要根据BOM表里面的上下级关系和用量进行计算</t>
        </r>
      </text>
    </comment>
    <comment ref="K13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实际要根据BOM表里面的上下级关系和用量进行计算</t>
        </r>
      </text>
    </comment>
    <comment ref="K15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实际要根据BOM表里面的上下级关系和用量进行计算</t>
        </r>
      </text>
    </comment>
    <comment ref="K16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实际要根据BOM表里面的上下级关系和用量进行计算</t>
        </r>
      </text>
    </comment>
    <comment ref="K18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实际要根据BOM表里面的上下级关系和用量进行计算</t>
        </r>
      </text>
    </comment>
    <comment ref="K19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实际要根据BOM表里面的上下级关系和用量进行计算</t>
        </r>
      </text>
    </comment>
  </commentList>
</comments>
</file>

<file path=xl/sharedStrings.xml><?xml version="1.0" encoding="utf-8"?>
<sst xmlns="http://schemas.openxmlformats.org/spreadsheetml/2006/main" count="189" uniqueCount="43">
  <si>
    <t>存货编码</t>
  </si>
  <si>
    <t>年月</t>
  </si>
  <si>
    <t>数量</t>
  </si>
  <si>
    <t>删除重写标记</t>
  </si>
  <si>
    <t>11201A012</t>
  </si>
  <si>
    <t>分类1</t>
  </si>
  <si>
    <t>11201A022</t>
  </si>
  <si>
    <t>报废率</t>
  </si>
  <si>
    <t>21201A012</t>
  </si>
  <si>
    <t>31201A012</t>
  </si>
  <si>
    <t>21201A022</t>
  </si>
  <si>
    <t>31201A022</t>
  </si>
  <si>
    <t>安全天数</t>
  </si>
  <si>
    <t>最大天数</t>
  </si>
  <si>
    <t>天数</t>
  </si>
  <si>
    <t>父零件</t>
  </si>
  <si>
    <t>子零件</t>
  </si>
  <si>
    <t>用量</t>
  </si>
  <si>
    <t>工序</t>
  </si>
  <si>
    <t>设备</t>
  </si>
  <si>
    <t>模腔数/取数（pcs）</t>
  </si>
  <si>
    <t>制造周期（S）</t>
  </si>
  <si>
    <t>持台人数（人）</t>
  </si>
  <si>
    <t>单件节拍（S）</t>
  </si>
  <si>
    <t>aa</t>
  </si>
  <si>
    <t>aa001</t>
  </si>
  <si>
    <t>bb</t>
  </si>
  <si>
    <t>bb001</t>
  </si>
  <si>
    <t>cc</t>
  </si>
  <si>
    <t>cc001</t>
  </si>
  <si>
    <t>bb002</t>
  </si>
  <si>
    <t>cc002</t>
  </si>
  <si>
    <t>年月（底）</t>
  </si>
  <si>
    <t>可用量</t>
  </si>
  <si>
    <t>完成品编码</t>
  </si>
  <si>
    <t>当前库存</t>
  </si>
  <si>
    <t>预测</t>
  </si>
  <si>
    <t>库存天数</t>
  </si>
  <si>
    <t>稼动天数</t>
  </si>
  <si>
    <t>是否要生产</t>
  </si>
  <si>
    <t>计划数量</t>
  </si>
  <si>
    <t>根据预测，盘点数，库存天数，报废率得出计划数</t>
  </si>
  <si>
    <t>根据上级计划数乘以用量，盘点数，库存天数，报废率得出计划数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</si>
</sst>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_ "/>
  </numFmts>
  <fonts count="2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6" borderId="4">
      <alignment vertical="center"/>
    </xf>
    <xf numFmtId="0" fontId="12" fillId="7" borderId="5">
      <alignment vertical="center"/>
    </xf>
    <xf numFmtId="0" fontId="13" fillId="7" borderId="4">
      <alignment vertical="center"/>
    </xf>
    <xf numFmtId="0" fontId="14" fillId="8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  <xf numFmtId="0" fontId="22" fillId="0" borderId="0"/>
  </cellStyleXfs>
  <cellXfs count="1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 shrinkToFit="1"/>
    </xf>
    <xf numFmtId="0" fontId="1" fillId="3" borderId="0" xfId="0" applyFont="1" applyFill="1" applyAlignment="1">
      <alignment horizontal="center" vertical="center" wrapText="1" shrinkToFit="1"/>
    </xf>
    <xf numFmtId="176" fontId="0" fillId="0" borderId="0" xfId="1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0" fontId="2" fillId="0" borderId="0" xfId="0" applyFont="1" applyAlignment="1">
      <alignment vertical="center"/>
    </xf>
    <xf numFmtId="9" fontId="0" fillId="0" borderId="0" xfId="0" applyNumberForma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19</xdr:row>
      <xdr:rowOff>161925</xdr:rowOff>
    </xdr:from>
    <xdr:to>
      <xdr:col>6</xdr:col>
      <xdr:colOff>343535</xdr:colOff>
      <xdr:row>41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419475"/>
          <a:ext cx="4914900" cy="3676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多工序"/>
      <sheetName val="安全库存标准"/>
      <sheetName val="盘点"/>
      <sheetName val="报废率"/>
      <sheetName val="预测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2" sqref="C2:C7"/>
    </sheetView>
  </sheetViews>
  <sheetFormatPr defaultColWidth="9" defaultRowHeight="13.5" outlineLevelRow="6" outlineLevelCol="3"/>
  <cols>
    <col min="1" max="1" width="12.625" style="1" customWidth="1"/>
    <col min="2" max="2" width="7.375" style="1" customWidth="1"/>
    <col min="3" max="3" width="4.375" style="1" customWidth="1"/>
    <col min="4" max="4" width="11.125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5" t="s">
        <v>4</v>
      </c>
      <c r="B2" s="1">
        <v>202604</v>
      </c>
      <c r="C2" s="1">
        <v>100</v>
      </c>
      <c r="D2" s="1" t="s">
        <v>5</v>
      </c>
    </row>
    <row r="3" spans="1:4">
      <c r="A3" s="5" t="s">
        <v>4</v>
      </c>
      <c r="B3" s="1">
        <v>202605</v>
      </c>
      <c r="C3" s="1">
        <v>101</v>
      </c>
      <c r="D3" s="1" t="s">
        <v>5</v>
      </c>
    </row>
    <row r="4" spans="1:4">
      <c r="A4" s="5" t="s">
        <v>4</v>
      </c>
      <c r="B4" s="1">
        <v>202606</v>
      </c>
      <c r="C4" s="1">
        <v>102</v>
      </c>
      <c r="D4" s="1" t="s">
        <v>5</v>
      </c>
    </row>
    <row r="5" spans="1:4">
      <c r="A5" s="5" t="s">
        <v>6</v>
      </c>
      <c r="B5" s="1">
        <v>202604</v>
      </c>
      <c r="C5" s="1">
        <v>103</v>
      </c>
      <c r="D5" s="1" t="s">
        <v>5</v>
      </c>
    </row>
    <row r="6" spans="1:4">
      <c r="A6" s="5" t="s">
        <v>6</v>
      </c>
      <c r="B6" s="1">
        <v>202605</v>
      </c>
      <c r="C6" s="1">
        <v>104</v>
      </c>
      <c r="D6" s="1" t="s">
        <v>5</v>
      </c>
    </row>
    <row r="7" spans="1:4">
      <c r="A7" s="5" t="s">
        <v>6</v>
      </c>
      <c r="B7" s="1">
        <v>202606</v>
      </c>
      <c r="C7" s="1">
        <v>105</v>
      </c>
      <c r="D7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2" sqref="B2:B7"/>
    </sheetView>
  </sheetViews>
  <sheetFormatPr defaultColWidth="9" defaultRowHeight="13.5" outlineLevelRow="6" outlineLevelCol="1"/>
  <cols>
    <col min="1" max="1" width="12.625" customWidth="1"/>
    <col min="2" max="2" width="5.875" customWidth="1"/>
  </cols>
  <sheetData>
    <row r="1" spans="1:2">
      <c r="A1" s="2" t="s">
        <v>0</v>
      </c>
      <c r="B1" s="2" t="s">
        <v>7</v>
      </c>
    </row>
    <row r="2" spans="1:2">
      <c r="A2" s="5" t="s">
        <v>4</v>
      </c>
      <c r="B2" s="13">
        <v>0.01</v>
      </c>
    </row>
    <row r="3" spans="1:2">
      <c r="A3" s="5" t="s">
        <v>8</v>
      </c>
      <c r="B3" s="13">
        <v>0.02</v>
      </c>
    </row>
    <row r="4" spans="1:2">
      <c r="A4" s="5" t="s">
        <v>9</v>
      </c>
      <c r="B4" s="13">
        <v>0.03</v>
      </c>
    </row>
    <row r="5" spans="1:2">
      <c r="A5" s="5" t="s">
        <v>6</v>
      </c>
      <c r="B5" s="13">
        <v>0.04</v>
      </c>
    </row>
    <row r="6" spans="1:2">
      <c r="A6" s="5" t="s">
        <v>10</v>
      </c>
      <c r="B6" s="13">
        <v>0.05</v>
      </c>
    </row>
    <row r="7" spans="1:2">
      <c r="A7" s="5" t="s">
        <v>11</v>
      </c>
      <c r="B7" s="13">
        <v>0.06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3.5" outlineLevelRow="6" outlineLevelCol="2"/>
  <cols>
    <col min="1" max="1" width="12.625" customWidth="1"/>
    <col min="2" max="3" width="7.625" customWidth="1"/>
  </cols>
  <sheetData>
    <row r="1" spans="1:3">
      <c r="A1" s="2" t="s">
        <v>0</v>
      </c>
      <c r="B1" s="2" t="s">
        <v>12</v>
      </c>
      <c r="C1" s="2" t="s">
        <v>13</v>
      </c>
    </row>
    <row r="2" spans="1:3">
      <c r="A2" s="5" t="s">
        <v>4</v>
      </c>
      <c r="B2" s="1">
        <v>3</v>
      </c>
      <c r="C2" s="1">
        <v>15</v>
      </c>
    </row>
    <row r="3" spans="1:3">
      <c r="A3" s="5" t="s">
        <v>8</v>
      </c>
      <c r="B3" s="1">
        <v>3</v>
      </c>
      <c r="C3" s="1">
        <v>15</v>
      </c>
    </row>
    <row r="4" spans="1:3">
      <c r="A4" s="5" t="s">
        <v>9</v>
      </c>
      <c r="B4" s="1">
        <v>3</v>
      </c>
      <c r="C4" s="1">
        <v>15</v>
      </c>
    </row>
    <row r="5" spans="1:3">
      <c r="A5" s="5" t="s">
        <v>6</v>
      </c>
      <c r="B5" s="1">
        <v>3</v>
      </c>
      <c r="C5" s="1">
        <v>15</v>
      </c>
    </row>
    <row r="6" spans="1:3">
      <c r="A6" s="5" t="s">
        <v>10</v>
      </c>
      <c r="B6" s="1">
        <v>3</v>
      </c>
      <c r="C6" s="1">
        <v>15</v>
      </c>
    </row>
    <row r="7" spans="1:3">
      <c r="A7" s="5" t="s">
        <v>11</v>
      </c>
      <c r="B7" s="1">
        <v>3</v>
      </c>
      <c r="C7" s="1">
        <v>15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7.375" customWidth="1"/>
    <col min="2" max="2" width="4.125" customWidth="1"/>
  </cols>
  <sheetData>
    <row r="1" spans="1:2">
      <c r="A1" s="2" t="s">
        <v>1</v>
      </c>
      <c r="B1" s="2" t="s">
        <v>14</v>
      </c>
    </row>
    <row r="2" spans="1:2">
      <c r="A2" s="1">
        <v>202604</v>
      </c>
      <c r="B2" s="1">
        <v>26</v>
      </c>
    </row>
    <row r="3" spans="1:2">
      <c r="A3" s="1">
        <v>202605</v>
      </c>
      <c r="B3" s="1">
        <v>26</v>
      </c>
    </row>
    <row r="4" spans="1:2">
      <c r="A4" s="1">
        <v>202606</v>
      </c>
      <c r="B4" s="1">
        <v>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D1" sqref="D1:I7"/>
    </sheetView>
  </sheetViews>
  <sheetFormatPr defaultColWidth="9" defaultRowHeight="13.5" outlineLevelRow="6"/>
  <cols>
    <col min="1" max="2" width="12.625" customWidth="1"/>
    <col min="3" max="4" width="4.125" customWidth="1"/>
    <col min="5" max="5" width="6.375" customWidth="1"/>
    <col min="6" max="6" width="16.875" customWidth="1"/>
    <col min="7" max="7" width="12.125" customWidth="1"/>
    <col min="8" max="8" width="12.875" customWidth="1"/>
    <col min="9" max="9" width="12.125" customWidth="1"/>
  </cols>
  <sheetData>
    <row r="1" s="12" customFormat="1" spans="1:9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</row>
    <row r="2" spans="1:9">
      <c r="A2" s="5" t="s">
        <v>4</v>
      </c>
      <c r="B2" s="5" t="s">
        <v>8</v>
      </c>
      <c r="C2" s="1">
        <v>1</v>
      </c>
      <c r="D2" s="1" t="s">
        <v>24</v>
      </c>
      <c r="E2" s="1" t="s">
        <v>25</v>
      </c>
      <c r="F2" s="1">
        <v>1</v>
      </c>
      <c r="G2" s="1">
        <v>1</v>
      </c>
      <c r="H2" s="1">
        <v>1</v>
      </c>
      <c r="I2" s="1">
        <v>1</v>
      </c>
    </row>
    <row r="3" spans="1:9">
      <c r="A3" s="5" t="s">
        <v>8</v>
      </c>
      <c r="B3" s="5" t="s">
        <v>9</v>
      </c>
      <c r="C3" s="1">
        <v>1</v>
      </c>
      <c r="D3" s="1" t="s">
        <v>26</v>
      </c>
      <c r="E3" s="1" t="s">
        <v>27</v>
      </c>
      <c r="F3" s="1">
        <v>1</v>
      </c>
      <c r="G3" s="1">
        <v>2</v>
      </c>
      <c r="H3" s="1">
        <v>2</v>
      </c>
      <c r="I3" s="1">
        <v>2</v>
      </c>
    </row>
    <row r="4" spans="1:9">
      <c r="A4" s="5" t="s">
        <v>9</v>
      </c>
      <c r="B4" s="1"/>
      <c r="C4" s="1"/>
      <c r="D4" s="1" t="s">
        <v>28</v>
      </c>
      <c r="E4" s="1" t="s">
        <v>29</v>
      </c>
      <c r="F4" s="1">
        <v>2</v>
      </c>
      <c r="G4" s="1">
        <v>3</v>
      </c>
      <c r="H4" s="1">
        <v>1</v>
      </c>
      <c r="I4" s="1">
        <v>3</v>
      </c>
    </row>
    <row r="5" spans="1:9">
      <c r="A5" s="5" t="s">
        <v>6</v>
      </c>
      <c r="B5" s="5" t="s">
        <v>10</v>
      </c>
      <c r="C5" s="1">
        <v>1</v>
      </c>
      <c r="D5" s="1" t="s">
        <v>24</v>
      </c>
      <c r="E5" s="1" t="s">
        <v>25</v>
      </c>
      <c r="F5" s="1">
        <v>1</v>
      </c>
      <c r="G5" s="1">
        <v>4</v>
      </c>
      <c r="H5" s="1">
        <v>1</v>
      </c>
      <c r="I5" s="1">
        <v>4</v>
      </c>
    </row>
    <row r="6" spans="1:9">
      <c r="A6" s="5" t="s">
        <v>10</v>
      </c>
      <c r="B6" s="5" t="s">
        <v>11</v>
      </c>
      <c r="C6" s="1">
        <v>1</v>
      </c>
      <c r="D6" s="1" t="s">
        <v>26</v>
      </c>
      <c r="E6" s="1" t="s">
        <v>30</v>
      </c>
      <c r="F6" s="1">
        <v>1</v>
      </c>
      <c r="G6" s="1">
        <v>5</v>
      </c>
      <c r="H6" s="1">
        <v>2</v>
      </c>
      <c r="I6" s="1">
        <v>5</v>
      </c>
    </row>
    <row r="7" spans="1:9">
      <c r="A7" s="5" t="s">
        <v>11</v>
      </c>
      <c r="B7" s="1"/>
      <c r="C7" s="1"/>
      <c r="D7" s="1" t="s">
        <v>28</v>
      </c>
      <c r="E7" s="1" t="s">
        <v>31</v>
      </c>
      <c r="F7" s="1">
        <v>2</v>
      </c>
      <c r="G7" s="1">
        <v>6</v>
      </c>
      <c r="H7" s="1">
        <v>1</v>
      </c>
      <c r="I7" s="1">
        <v>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2" sqref="C2:C7"/>
    </sheetView>
  </sheetViews>
  <sheetFormatPr defaultColWidth="9" defaultRowHeight="13.5" outlineLevelRow="6" outlineLevelCol="3"/>
  <cols>
    <col min="1" max="1" width="12.625" customWidth="1"/>
    <col min="2" max="2" width="9.375" customWidth="1"/>
    <col min="3" max="3" width="5.875" customWidth="1"/>
    <col min="4" max="4" width="11.125" customWidth="1"/>
  </cols>
  <sheetData>
    <row r="1" spans="1:4">
      <c r="A1" s="2" t="s">
        <v>0</v>
      </c>
      <c r="B1" s="2" t="s">
        <v>32</v>
      </c>
      <c r="C1" s="2" t="s">
        <v>33</v>
      </c>
      <c r="D1" s="2" t="s">
        <v>3</v>
      </c>
    </row>
    <row r="2" spans="1:4">
      <c r="A2" s="5" t="s">
        <v>4</v>
      </c>
      <c r="B2" s="1">
        <v>202603</v>
      </c>
      <c r="C2" s="1">
        <v>10</v>
      </c>
      <c r="D2" s="1" t="s">
        <v>5</v>
      </c>
    </row>
    <row r="3" spans="1:4">
      <c r="A3" s="5" t="s">
        <v>8</v>
      </c>
      <c r="B3" s="1">
        <v>202603</v>
      </c>
      <c r="C3" s="1">
        <v>11</v>
      </c>
      <c r="D3" s="1" t="s">
        <v>5</v>
      </c>
    </row>
    <row r="4" spans="1:4">
      <c r="A4" s="5" t="s">
        <v>9</v>
      </c>
      <c r="B4" s="1">
        <v>202603</v>
      </c>
      <c r="C4" s="1">
        <v>12</v>
      </c>
      <c r="D4" s="1" t="s">
        <v>5</v>
      </c>
    </row>
    <row r="5" spans="1:4">
      <c r="A5" s="5" t="s">
        <v>6</v>
      </c>
      <c r="B5" s="1">
        <v>202603</v>
      </c>
      <c r="C5" s="1">
        <v>13</v>
      </c>
      <c r="D5" s="1" t="s">
        <v>5</v>
      </c>
    </row>
    <row r="6" spans="1:4">
      <c r="A6" s="5" t="s">
        <v>10</v>
      </c>
      <c r="B6" s="1">
        <v>202603</v>
      </c>
      <c r="C6" s="1">
        <v>14</v>
      </c>
      <c r="D6" s="1" t="s">
        <v>5</v>
      </c>
    </row>
    <row r="7" spans="1:4">
      <c r="A7" s="5" t="s">
        <v>11</v>
      </c>
      <c r="B7" s="1">
        <v>202603</v>
      </c>
      <c r="C7" s="1">
        <v>15</v>
      </c>
      <c r="D7" s="1" t="s"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topLeftCell="B1" workbookViewId="0">
      <selection activeCell="Q1" sqref="Q1"/>
    </sheetView>
  </sheetViews>
  <sheetFormatPr defaultColWidth="9" defaultRowHeight="13.5"/>
  <cols>
    <col min="1" max="2" width="12.625" customWidth="1"/>
    <col min="3" max="3" width="7.375" customWidth="1"/>
    <col min="4" max="4" width="4.125" customWidth="1"/>
    <col min="5" max="5" width="6.375" customWidth="1"/>
    <col min="6" max="6" width="16.875" customWidth="1"/>
    <col min="7" max="7" width="12.125" customWidth="1"/>
    <col min="8" max="8" width="12.875" customWidth="1"/>
    <col min="9" max="9" width="12.125" customWidth="1"/>
    <col min="10" max="10" width="7.625" customWidth="1"/>
    <col min="11" max="11" width="5.375" customWidth="1"/>
    <col min="12" max="13" width="7.625" customWidth="1"/>
    <col min="14" max="14" width="5.875" customWidth="1"/>
    <col min="15" max="15" width="9.375" customWidth="1"/>
    <col min="16" max="16" width="7.625" style="1" customWidth="1"/>
    <col min="17" max="17" width="60.875" customWidth="1"/>
  </cols>
  <sheetData>
    <row r="1" spans="1:17">
      <c r="A1" s="2" t="s">
        <v>34</v>
      </c>
      <c r="B1" s="2" t="s">
        <v>0</v>
      </c>
      <c r="C1" s="2" t="s">
        <v>1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7</v>
      </c>
      <c r="O1" s="4" t="s">
        <v>39</v>
      </c>
      <c r="P1" s="4" t="s">
        <v>40</v>
      </c>
      <c r="Q1" s="2" t="s">
        <v>40</v>
      </c>
    </row>
    <row r="2" spans="1:17">
      <c r="A2" s="5" t="s">
        <v>4</v>
      </c>
      <c r="B2" s="5" t="s">
        <v>4</v>
      </c>
      <c r="C2" s="1">
        <v>202604</v>
      </c>
      <c r="D2" s="6" t="s">
        <v>24</v>
      </c>
      <c r="E2" s="6" t="s">
        <v>25</v>
      </c>
      <c r="F2" s="6">
        <v>1</v>
      </c>
      <c r="G2" s="6">
        <v>1</v>
      </c>
      <c r="H2" s="6">
        <v>1</v>
      </c>
      <c r="I2" s="6">
        <v>1</v>
      </c>
      <c r="J2" s="7">
        <v>10</v>
      </c>
      <c r="K2" s="7">
        <v>100</v>
      </c>
      <c r="L2" s="6">
        <v>3</v>
      </c>
      <c r="M2" s="6">
        <v>26</v>
      </c>
      <c r="N2" s="8">
        <v>0.01</v>
      </c>
      <c r="O2" s="9" t="str">
        <f>IF(K2-J2&gt;0,"Y","N")</f>
        <v>Y</v>
      </c>
      <c r="P2" s="10">
        <f t="shared" ref="P2:P19" si="0">(K2/M2*L2+K2-J2)/(1-N2)</f>
        <v>102.564102564103</v>
      </c>
      <c r="Q2" s="1" t="s">
        <v>41</v>
      </c>
    </row>
    <row r="3" spans="1:17">
      <c r="A3" s="5" t="s">
        <v>4</v>
      </c>
      <c r="B3" s="5" t="s">
        <v>8</v>
      </c>
      <c r="C3" s="1">
        <v>202604</v>
      </c>
      <c r="D3" s="6" t="s">
        <v>26</v>
      </c>
      <c r="E3" s="6" t="s">
        <v>27</v>
      </c>
      <c r="F3" s="6">
        <v>1</v>
      </c>
      <c r="G3" s="6">
        <v>2</v>
      </c>
      <c r="H3" s="6">
        <v>2</v>
      </c>
      <c r="I3" s="6">
        <v>2</v>
      </c>
      <c r="J3" s="7">
        <v>11</v>
      </c>
      <c r="K3" s="11">
        <f t="shared" ref="K3:K7" si="1">P2</f>
        <v>102.564102564103</v>
      </c>
      <c r="L3" s="6">
        <v>3</v>
      </c>
      <c r="M3" s="6">
        <v>26</v>
      </c>
      <c r="N3" s="8">
        <v>0.02</v>
      </c>
      <c r="O3" s="9" t="str">
        <f t="shared" ref="O3:O19" si="2">IF(K3-J3&gt;0,"Y","N")</f>
        <v>Y</v>
      </c>
      <c r="P3" s="10">
        <f t="shared" si="0"/>
        <v>105.508593970132</v>
      </c>
      <c r="Q3" s="1" t="s">
        <v>42</v>
      </c>
    </row>
    <row r="4" spans="1:17">
      <c r="A4" s="5" t="s">
        <v>4</v>
      </c>
      <c r="B4" s="5" t="s">
        <v>9</v>
      </c>
      <c r="C4" s="1">
        <v>202604</v>
      </c>
      <c r="D4" s="6" t="s">
        <v>28</v>
      </c>
      <c r="E4" s="6" t="s">
        <v>29</v>
      </c>
      <c r="F4" s="6">
        <v>2</v>
      </c>
      <c r="G4" s="6">
        <v>3</v>
      </c>
      <c r="H4" s="6">
        <v>1</v>
      </c>
      <c r="I4" s="6">
        <v>3</v>
      </c>
      <c r="J4" s="7">
        <v>12</v>
      </c>
      <c r="K4" s="11">
        <f t="shared" si="1"/>
        <v>105.508593970132</v>
      </c>
      <c r="L4" s="6">
        <v>3</v>
      </c>
      <c r="M4" s="6">
        <v>26</v>
      </c>
      <c r="N4" s="8">
        <v>0.03</v>
      </c>
      <c r="O4" s="9" t="str">
        <f t="shared" si="2"/>
        <v>Y</v>
      </c>
      <c r="P4" s="10">
        <f t="shared" si="0"/>
        <v>108.951198458915</v>
      </c>
      <c r="Q4" s="1" t="s">
        <v>42</v>
      </c>
    </row>
    <row r="5" spans="1:17">
      <c r="A5" s="5" t="s">
        <v>4</v>
      </c>
      <c r="B5" s="5" t="s">
        <v>4</v>
      </c>
      <c r="C5" s="1">
        <v>202605</v>
      </c>
      <c r="D5" s="6" t="s">
        <v>24</v>
      </c>
      <c r="E5" s="6" t="s">
        <v>25</v>
      </c>
      <c r="F5" s="6">
        <v>1</v>
      </c>
      <c r="G5" s="6">
        <v>1</v>
      </c>
      <c r="H5" s="6">
        <v>1</v>
      </c>
      <c r="I5" s="6">
        <v>1</v>
      </c>
      <c r="J5" s="11">
        <f t="shared" ref="J5:J10" si="3">P2*(1-N2)-K2+J2</f>
        <v>11.5384615384615</v>
      </c>
      <c r="K5" s="7">
        <v>101</v>
      </c>
      <c r="L5" s="6">
        <v>3</v>
      </c>
      <c r="M5" s="6">
        <v>26</v>
      </c>
      <c r="N5" s="8">
        <v>0.01</v>
      </c>
      <c r="O5" s="9" t="str">
        <f t="shared" si="2"/>
        <v>Y</v>
      </c>
      <c r="P5" s="10">
        <f t="shared" si="0"/>
        <v>102.136752136752</v>
      </c>
      <c r="Q5" s="1" t="s">
        <v>41</v>
      </c>
    </row>
    <row r="6" spans="1:17">
      <c r="A6" s="5" t="s">
        <v>4</v>
      </c>
      <c r="B6" s="5" t="s">
        <v>8</v>
      </c>
      <c r="C6" s="1">
        <v>202605</v>
      </c>
      <c r="D6" s="6" t="s">
        <v>26</v>
      </c>
      <c r="E6" s="6" t="s">
        <v>27</v>
      </c>
      <c r="F6" s="6">
        <v>1</v>
      </c>
      <c r="G6" s="6">
        <v>2</v>
      </c>
      <c r="H6" s="6">
        <v>2</v>
      </c>
      <c r="I6" s="6">
        <v>2</v>
      </c>
      <c r="J6" s="11">
        <f t="shared" si="3"/>
        <v>11.8343195266272</v>
      </c>
      <c r="K6" s="11">
        <f t="shared" si="1"/>
        <v>102.136752136752</v>
      </c>
      <c r="L6" s="6">
        <v>3</v>
      </c>
      <c r="M6" s="6">
        <v>26</v>
      </c>
      <c r="N6" s="8">
        <v>0.02</v>
      </c>
      <c r="O6" s="9" t="str">
        <f t="shared" si="2"/>
        <v>Y</v>
      </c>
      <c r="P6" s="10">
        <f t="shared" si="0"/>
        <v>104.170859665365</v>
      </c>
      <c r="Q6" s="1" t="s">
        <v>42</v>
      </c>
    </row>
    <row r="7" spans="1:17">
      <c r="A7" s="5" t="s">
        <v>4</v>
      </c>
      <c r="B7" s="5" t="s">
        <v>9</v>
      </c>
      <c r="C7" s="1">
        <v>202605</v>
      </c>
      <c r="D7" s="6" t="s">
        <v>28</v>
      </c>
      <c r="E7" s="6" t="s">
        <v>29</v>
      </c>
      <c r="F7" s="6">
        <v>2</v>
      </c>
      <c r="G7" s="6">
        <v>3</v>
      </c>
      <c r="H7" s="6">
        <v>1</v>
      </c>
      <c r="I7" s="6">
        <v>3</v>
      </c>
      <c r="J7" s="11">
        <f t="shared" si="3"/>
        <v>12.1740685350153</v>
      </c>
      <c r="K7" s="11">
        <f t="shared" si="1"/>
        <v>104.170859665365</v>
      </c>
      <c r="L7" s="6">
        <v>3</v>
      </c>
      <c r="M7" s="6">
        <v>26</v>
      </c>
      <c r="N7" s="8">
        <v>0.03</v>
      </c>
      <c r="O7" s="9" t="str">
        <f t="shared" si="2"/>
        <v>Y</v>
      </c>
      <c r="P7" s="10">
        <f t="shared" si="0"/>
        <v>107.233511038271</v>
      </c>
      <c r="Q7" s="1" t="s">
        <v>42</v>
      </c>
    </row>
    <row r="8" spans="1:17">
      <c r="A8" s="5" t="s">
        <v>4</v>
      </c>
      <c r="B8" s="5" t="s">
        <v>4</v>
      </c>
      <c r="C8" s="1">
        <v>202606</v>
      </c>
      <c r="D8" s="6" t="s">
        <v>24</v>
      </c>
      <c r="E8" s="6" t="s">
        <v>25</v>
      </c>
      <c r="F8" s="6">
        <v>1</v>
      </c>
      <c r="G8" s="6">
        <v>1</v>
      </c>
      <c r="H8" s="6">
        <v>1</v>
      </c>
      <c r="I8" s="6">
        <v>1</v>
      </c>
      <c r="J8" s="11">
        <f t="shared" si="3"/>
        <v>11.6538461538462</v>
      </c>
      <c r="K8" s="7">
        <v>102</v>
      </c>
      <c r="L8" s="6">
        <v>3</v>
      </c>
      <c r="M8" s="6">
        <v>26</v>
      </c>
      <c r="N8" s="8">
        <v>0.01</v>
      </c>
      <c r="O8" s="9" t="str">
        <f t="shared" si="2"/>
        <v>Y</v>
      </c>
      <c r="P8" s="10">
        <f t="shared" si="0"/>
        <v>103.146853146853</v>
      </c>
      <c r="Q8" s="1" t="s">
        <v>41</v>
      </c>
    </row>
    <row r="9" spans="1:17">
      <c r="A9" s="5" t="s">
        <v>4</v>
      </c>
      <c r="B9" s="5" t="s">
        <v>8</v>
      </c>
      <c r="C9" s="1">
        <v>202606</v>
      </c>
      <c r="D9" s="6" t="s">
        <v>26</v>
      </c>
      <c r="E9" s="6" t="s">
        <v>27</v>
      </c>
      <c r="F9" s="6">
        <v>1</v>
      </c>
      <c r="G9" s="6">
        <v>2</v>
      </c>
      <c r="H9" s="6">
        <v>2</v>
      </c>
      <c r="I9" s="6">
        <v>2</v>
      </c>
      <c r="J9" s="11">
        <f t="shared" si="3"/>
        <v>11.7850098619329</v>
      </c>
      <c r="K9" s="11">
        <f t="shared" ref="K9:K13" si="4">P8</f>
        <v>103.146853146853</v>
      </c>
      <c r="L9" s="6">
        <v>3</v>
      </c>
      <c r="M9" s="6">
        <v>26</v>
      </c>
      <c r="N9" s="8">
        <v>0.02</v>
      </c>
      <c r="O9" s="9" t="str">
        <f t="shared" si="2"/>
        <v>Y</v>
      </c>
      <c r="P9" s="10">
        <f t="shared" si="0"/>
        <v>105.370819656534</v>
      </c>
      <c r="Q9" s="1" t="s">
        <v>42</v>
      </c>
    </row>
    <row r="10" spans="1:17">
      <c r="A10" s="5" t="s">
        <v>4</v>
      </c>
      <c r="B10" s="5" t="s">
        <v>9</v>
      </c>
      <c r="C10" s="1">
        <v>202606</v>
      </c>
      <c r="D10" s="6" t="s">
        <v>28</v>
      </c>
      <c r="E10" s="6" t="s">
        <v>29</v>
      </c>
      <c r="F10" s="6">
        <v>2</v>
      </c>
      <c r="G10" s="6">
        <v>3</v>
      </c>
      <c r="H10" s="6">
        <v>1</v>
      </c>
      <c r="I10" s="6">
        <v>3</v>
      </c>
      <c r="J10" s="11">
        <f t="shared" si="3"/>
        <v>12.0197145767729</v>
      </c>
      <c r="K10" s="11">
        <f t="shared" si="4"/>
        <v>105.370819656534</v>
      </c>
      <c r="L10" s="6">
        <v>3</v>
      </c>
      <c r="M10" s="6">
        <v>26</v>
      </c>
      <c r="N10" s="8">
        <v>0.03</v>
      </c>
      <c r="O10" s="9" t="str">
        <f t="shared" si="2"/>
        <v>Y</v>
      </c>
      <c r="P10" s="10">
        <f t="shared" si="0"/>
        <v>108.772450081023</v>
      </c>
      <c r="Q10" s="1" t="s">
        <v>42</v>
      </c>
    </row>
    <row r="11" spans="1:17">
      <c r="A11" s="5" t="s">
        <v>6</v>
      </c>
      <c r="B11" s="5" t="s">
        <v>6</v>
      </c>
      <c r="C11" s="1">
        <v>202604</v>
      </c>
      <c r="D11" s="6" t="s">
        <v>24</v>
      </c>
      <c r="E11" s="6" t="s">
        <v>25</v>
      </c>
      <c r="F11" s="6">
        <v>1</v>
      </c>
      <c r="G11" s="6">
        <v>4</v>
      </c>
      <c r="H11" s="6">
        <v>1</v>
      </c>
      <c r="I11" s="6">
        <v>4</v>
      </c>
      <c r="J11" s="7">
        <v>13</v>
      </c>
      <c r="K11" s="7">
        <v>103</v>
      </c>
      <c r="L11" s="6">
        <v>3</v>
      </c>
      <c r="M11" s="6">
        <v>26</v>
      </c>
      <c r="N11" s="8">
        <v>0.04</v>
      </c>
      <c r="O11" s="9" t="str">
        <f t="shared" si="2"/>
        <v>Y</v>
      </c>
      <c r="P11" s="10">
        <f t="shared" si="0"/>
        <v>106.129807692308</v>
      </c>
      <c r="Q11" s="1" t="s">
        <v>41</v>
      </c>
    </row>
    <row r="12" spans="1:17">
      <c r="A12" s="5" t="s">
        <v>6</v>
      </c>
      <c r="B12" s="5" t="s">
        <v>10</v>
      </c>
      <c r="C12" s="1">
        <v>202604</v>
      </c>
      <c r="D12" s="6" t="s">
        <v>26</v>
      </c>
      <c r="E12" s="6" t="s">
        <v>30</v>
      </c>
      <c r="F12" s="6">
        <v>1</v>
      </c>
      <c r="G12" s="6">
        <v>5</v>
      </c>
      <c r="H12" s="6">
        <v>2</v>
      </c>
      <c r="I12" s="6">
        <v>5</v>
      </c>
      <c r="J12" s="7">
        <v>14</v>
      </c>
      <c r="K12" s="11">
        <f t="shared" si="4"/>
        <v>106.129807692308</v>
      </c>
      <c r="L12" s="6">
        <v>3</v>
      </c>
      <c r="M12" s="6">
        <v>26</v>
      </c>
      <c r="N12" s="8">
        <v>0.05</v>
      </c>
      <c r="O12" s="9" t="str">
        <f t="shared" si="2"/>
        <v>Y</v>
      </c>
      <c r="P12" s="10">
        <f t="shared" si="0"/>
        <v>109.869004982871</v>
      </c>
      <c r="Q12" s="1" t="s">
        <v>42</v>
      </c>
    </row>
    <row r="13" spans="1:17">
      <c r="A13" s="5" t="s">
        <v>6</v>
      </c>
      <c r="B13" s="5" t="s">
        <v>11</v>
      </c>
      <c r="C13" s="1">
        <v>202604</v>
      </c>
      <c r="D13" s="6" t="s">
        <v>28</v>
      </c>
      <c r="E13" s="6" t="s">
        <v>31</v>
      </c>
      <c r="F13" s="6">
        <v>2</v>
      </c>
      <c r="G13" s="6">
        <v>6</v>
      </c>
      <c r="H13" s="6">
        <v>1</v>
      </c>
      <c r="I13" s="6">
        <v>6</v>
      </c>
      <c r="J13" s="7">
        <v>15</v>
      </c>
      <c r="K13" s="11">
        <f t="shared" si="4"/>
        <v>109.869004982871</v>
      </c>
      <c r="L13" s="6">
        <v>3</v>
      </c>
      <c r="M13" s="6">
        <v>26</v>
      </c>
      <c r="N13" s="8">
        <v>0.06</v>
      </c>
      <c r="O13" s="9" t="str">
        <f t="shared" si="2"/>
        <v>Y</v>
      </c>
      <c r="P13" s="10">
        <f t="shared" si="0"/>
        <v>114.410848793096</v>
      </c>
      <c r="Q13" s="1" t="s">
        <v>42</v>
      </c>
    </row>
    <row r="14" spans="1:17">
      <c r="A14" s="5" t="s">
        <v>6</v>
      </c>
      <c r="B14" s="5" t="s">
        <v>6</v>
      </c>
      <c r="C14" s="1">
        <v>202605</v>
      </c>
      <c r="D14" s="6" t="s">
        <v>24</v>
      </c>
      <c r="E14" s="6" t="s">
        <v>25</v>
      </c>
      <c r="F14" s="6">
        <v>1</v>
      </c>
      <c r="G14" s="6">
        <v>4</v>
      </c>
      <c r="H14" s="6">
        <v>1</v>
      </c>
      <c r="I14" s="6">
        <v>4</v>
      </c>
      <c r="J14" s="11">
        <f t="shared" ref="J14:J19" si="5">P11*(1-N11)-K11+J11</f>
        <v>11.8846153846154</v>
      </c>
      <c r="K14" s="7">
        <v>104</v>
      </c>
      <c r="L14" s="6">
        <v>3</v>
      </c>
      <c r="M14" s="6">
        <v>26</v>
      </c>
      <c r="N14" s="8">
        <v>0.04</v>
      </c>
      <c r="O14" s="9" t="str">
        <f t="shared" si="2"/>
        <v>Y</v>
      </c>
      <c r="P14" s="10">
        <f t="shared" si="0"/>
        <v>108.453525641026</v>
      </c>
      <c r="Q14" s="1" t="s">
        <v>41</v>
      </c>
    </row>
    <row r="15" spans="1:17">
      <c r="A15" s="5" t="s">
        <v>6</v>
      </c>
      <c r="B15" s="5" t="s">
        <v>10</v>
      </c>
      <c r="C15" s="1">
        <v>202605</v>
      </c>
      <c r="D15" s="6" t="s">
        <v>26</v>
      </c>
      <c r="E15" s="6" t="s">
        <v>30</v>
      </c>
      <c r="F15" s="6">
        <v>1</v>
      </c>
      <c r="G15" s="6">
        <v>5</v>
      </c>
      <c r="H15" s="6">
        <v>2</v>
      </c>
      <c r="I15" s="6">
        <v>5</v>
      </c>
      <c r="J15" s="11">
        <f t="shared" si="5"/>
        <v>12.2457470414201</v>
      </c>
      <c r="K15" s="11">
        <f t="shared" ref="K15:K19" si="6">P14</f>
        <v>108.453525641026</v>
      </c>
      <c r="L15" s="6">
        <v>3</v>
      </c>
      <c r="M15" s="6">
        <v>26</v>
      </c>
      <c r="N15" s="8">
        <v>0.05</v>
      </c>
      <c r="O15" s="9" t="str">
        <f t="shared" si="2"/>
        <v>Y</v>
      </c>
      <c r="P15" s="10">
        <f t="shared" si="0"/>
        <v>114.443838887159</v>
      </c>
      <c r="Q15" s="1" t="s">
        <v>42</v>
      </c>
    </row>
    <row r="16" spans="1:17">
      <c r="A16" s="5" t="s">
        <v>6</v>
      </c>
      <c r="B16" s="5" t="s">
        <v>11</v>
      </c>
      <c r="C16" s="1">
        <v>202605</v>
      </c>
      <c r="D16" s="6" t="s">
        <v>28</v>
      </c>
      <c r="E16" s="6" t="s">
        <v>31</v>
      </c>
      <c r="F16" s="6">
        <v>2</v>
      </c>
      <c r="G16" s="6">
        <v>6</v>
      </c>
      <c r="H16" s="6">
        <v>1</v>
      </c>
      <c r="I16" s="6">
        <v>6</v>
      </c>
      <c r="J16" s="11">
        <f t="shared" si="5"/>
        <v>12.677192882639</v>
      </c>
      <c r="K16" s="11">
        <f t="shared" si="6"/>
        <v>114.443838887159</v>
      </c>
      <c r="L16" s="6">
        <v>3</v>
      </c>
      <c r="M16" s="6">
        <v>26</v>
      </c>
      <c r="N16" s="8">
        <v>0.06</v>
      </c>
      <c r="O16" s="9" t="str">
        <f t="shared" si="2"/>
        <v>Y</v>
      </c>
      <c r="P16" s="10">
        <f t="shared" si="0"/>
        <v>122.310323763461</v>
      </c>
      <c r="Q16" s="1" t="s">
        <v>42</v>
      </c>
    </row>
    <row r="17" spans="1:17">
      <c r="A17" s="5" t="s">
        <v>6</v>
      </c>
      <c r="B17" s="5" t="s">
        <v>6</v>
      </c>
      <c r="C17" s="1">
        <v>202606</v>
      </c>
      <c r="D17" s="6" t="s">
        <v>24</v>
      </c>
      <c r="E17" s="6" t="s">
        <v>25</v>
      </c>
      <c r="F17" s="6">
        <v>1</v>
      </c>
      <c r="G17" s="6">
        <v>4</v>
      </c>
      <c r="H17" s="6">
        <v>1</v>
      </c>
      <c r="I17" s="6">
        <v>4</v>
      </c>
      <c r="J17" s="11">
        <f t="shared" si="5"/>
        <v>12</v>
      </c>
      <c r="K17" s="7">
        <v>105</v>
      </c>
      <c r="L17" s="6">
        <v>3</v>
      </c>
      <c r="M17" s="6">
        <v>26</v>
      </c>
      <c r="N17" s="8">
        <v>0.04</v>
      </c>
      <c r="O17" s="9" t="str">
        <f t="shared" si="2"/>
        <v>Y</v>
      </c>
      <c r="P17" s="10">
        <f t="shared" si="0"/>
        <v>109.495192307692</v>
      </c>
      <c r="Q17" s="1" t="s">
        <v>41</v>
      </c>
    </row>
    <row r="18" spans="1:17">
      <c r="A18" s="5" t="s">
        <v>6</v>
      </c>
      <c r="B18" s="5" t="s">
        <v>10</v>
      </c>
      <c r="C18" s="1">
        <v>202606</v>
      </c>
      <c r="D18" s="6" t="s">
        <v>26</v>
      </c>
      <c r="E18" s="6" t="s">
        <v>30</v>
      </c>
      <c r="F18" s="6">
        <v>1</v>
      </c>
      <c r="G18" s="6">
        <v>5</v>
      </c>
      <c r="H18" s="6">
        <v>2</v>
      </c>
      <c r="I18" s="6">
        <v>5</v>
      </c>
      <c r="J18" s="11">
        <f t="shared" si="5"/>
        <v>12.5138683431953</v>
      </c>
      <c r="K18" s="11">
        <f t="shared" si="6"/>
        <v>109.495192307692</v>
      </c>
      <c r="L18" s="6">
        <v>3</v>
      </c>
      <c r="M18" s="6">
        <v>26</v>
      </c>
      <c r="N18" s="8">
        <v>0.05</v>
      </c>
      <c r="O18" s="9" t="str">
        <f t="shared" si="2"/>
        <v>Y</v>
      </c>
      <c r="P18" s="10">
        <f t="shared" si="0"/>
        <v>115.384615384615</v>
      </c>
      <c r="Q18" s="1" t="s">
        <v>42</v>
      </c>
    </row>
    <row r="19" spans="1:17">
      <c r="A19" s="5" t="s">
        <v>6</v>
      </c>
      <c r="B19" s="5" t="s">
        <v>11</v>
      </c>
      <c r="C19" s="1">
        <v>202606</v>
      </c>
      <c r="D19" s="6" t="s">
        <v>28</v>
      </c>
      <c r="E19" s="6" t="s">
        <v>31</v>
      </c>
      <c r="F19" s="6">
        <v>2</v>
      </c>
      <c r="G19" s="6">
        <v>6</v>
      </c>
      <c r="H19" s="6">
        <v>1</v>
      </c>
      <c r="I19" s="6">
        <v>6</v>
      </c>
      <c r="J19" s="11">
        <f t="shared" si="5"/>
        <v>13.2050583331337</v>
      </c>
      <c r="K19" s="11">
        <f t="shared" si="6"/>
        <v>115.384615384615</v>
      </c>
      <c r="L19" s="6">
        <v>3</v>
      </c>
      <c r="M19" s="6">
        <v>26</v>
      </c>
      <c r="N19" s="8">
        <v>0.06</v>
      </c>
      <c r="O19" s="9" t="str">
        <f t="shared" si="2"/>
        <v>Y</v>
      </c>
      <c r="P19" s="10">
        <f t="shared" si="0"/>
        <v>122.865070764827</v>
      </c>
      <c r="Q19" s="1" t="s">
        <v>42</v>
      </c>
    </row>
  </sheetData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预测（仅完成品）</vt:lpstr>
      <vt:lpstr>报废率</vt:lpstr>
      <vt:lpstr>库存天数</vt:lpstr>
      <vt:lpstr>稼动天数</vt:lpstr>
      <vt:lpstr>BOM</vt:lpstr>
      <vt:lpstr>盘点数</vt:lpstr>
      <vt:lpstr>结果集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Gong,Chaoyu (YFI,Eric,Shanghai,CN)</dc:creator>
  <cp:lastModifiedBy>Gong,Chaoyu (YFI,Eric,Shanghai,CN)</cp:lastModifiedBy>
  <dcterms:created xsi:type="dcterms:W3CDTF">2023-05-12T11:15:00Z</dcterms:created>
  <dcterms:modified xsi:type="dcterms:W3CDTF">2026-05-10T04:29:55Z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DB7D314133F5403C95AC59016CDC206D_12</vt:lpwstr>
  </property>
  <property fmtid="{D5CDD505-2E9C-101B-9397-08002B2CF9AE}" pid="4" name="CalculationRule">
    <vt:i4>0</vt:i4>
  </property>
</Properties>
</file>